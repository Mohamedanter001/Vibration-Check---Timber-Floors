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ohamed Anter\Desktop\"/>
    </mc:Choice>
  </mc:AlternateContent>
  <xr:revisionPtr revIDLastSave="0" documentId="13_ncr:1_{F1DE134F-92C9-4C4B-8EA6-BB3B20483D7D}" xr6:coauthVersionLast="47" xr6:coauthVersionMax="47" xr10:uidLastSave="{00000000-0000-0000-0000-000000000000}"/>
  <bookViews>
    <workbookView xWindow="-108" yWindow="-108" windowWidth="23256" windowHeight="12576" xr2:uid="{9B02FF33-0648-4101-AD17-22C4F6751C54}"/>
  </bookViews>
  <sheets>
    <sheet name="Vibration Check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B19" i="1"/>
  <c r="B23" i="1" s="1"/>
  <c r="B12" i="1"/>
  <c r="V6" i="1" l="1"/>
  <c r="B21" i="1" s="1"/>
  <c r="C21" i="1" l="1"/>
  <c r="B27" i="1"/>
  <c r="B29" i="1" s="1"/>
  <c r="B28" i="1"/>
  <c r="A30" i="1" l="1"/>
</calcChain>
</file>

<file path=xl/sharedStrings.xml><?xml version="1.0" encoding="utf-8"?>
<sst xmlns="http://schemas.openxmlformats.org/spreadsheetml/2006/main" count="50" uniqueCount="41">
  <si>
    <t>Floor</t>
  </si>
  <si>
    <t>B</t>
  </si>
  <si>
    <t>L</t>
  </si>
  <si>
    <t>Density</t>
  </si>
  <si>
    <t>T</t>
  </si>
  <si>
    <t>t</t>
  </si>
  <si>
    <t>o.w</t>
  </si>
  <si>
    <t>E.I</t>
  </si>
  <si>
    <t>Joists</t>
  </si>
  <si>
    <t>E</t>
  </si>
  <si>
    <t>Spacing(CL - CL)</t>
  </si>
  <si>
    <t>m</t>
  </si>
  <si>
    <t>Mpa</t>
  </si>
  <si>
    <t>KN/m3</t>
  </si>
  <si>
    <t>Fundamental Frequency</t>
  </si>
  <si>
    <r>
      <rPr>
        <i/>
        <sz val="14"/>
        <color theme="1"/>
        <rFont val="Calibri"/>
        <family val="2"/>
        <scheme val="minor"/>
      </rPr>
      <t>f</t>
    </r>
    <r>
      <rPr>
        <sz val="9"/>
        <color theme="1"/>
        <rFont val="Calibri"/>
        <family val="2"/>
        <scheme val="minor"/>
      </rPr>
      <t>1</t>
    </r>
  </si>
  <si>
    <r>
      <t>B</t>
    </r>
    <r>
      <rPr>
        <sz val="9"/>
        <color theme="1"/>
        <rFont val="Calibri"/>
        <family val="2"/>
        <scheme val="minor"/>
      </rPr>
      <t>(Length Of Joist)</t>
    </r>
  </si>
  <si>
    <t>2. Check the static deflection of the floor according to point load</t>
  </si>
  <si>
    <t>Actual Deflection Under 1 KN</t>
  </si>
  <si>
    <t>mm</t>
  </si>
  <si>
    <t>Kg/m2</t>
  </si>
  <si>
    <t>Kg.m2</t>
  </si>
  <si>
    <t>Damping Ratio</t>
  </si>
  <si>
    <t>b</t>
  </si>
  <si>
    <t>v(limit)</t>
  </si>
  <si>
    <t>unit impulse velocity response</t>
  </si>
  <si>
    <t>v</t>
  </si>
  <si>
    <r>
      <rPr>
        <sz val="14"/>
        <color theme="1"/>
        <rFont val="Calibri"/>
        <family val="2"/>
        <scheme val="minor"/>
      </rPr>
      <t>n</t>
    </r>
    <r>
      <rPr>
        <sz val="11"/>
        <color theme="1"/>
        <rFont val="Calibri"/>
        <family val="2"/>
        <scheme val="minor"/>
      </rPr>
      <t>40</t>
    </r>
  </si>
  <si>
    <t>number of first order modes with natural frequencies up to 40 Hz</t>
  </si>
  <si>
    <t>According to EKS 9 (Swedish national application document) the following values may be used [ a = 1.5mm/KN         b = 100m(Ns^2) ]</t>
  </si>
  <si>
    <t>2. Peak velocity v due to “unit impulse of 1Ns”</t>
  </si>
  <si>
    <t>The initial value of vertical floor velocity caused by a unit impulse of 1 Ns applied at any point of the floor</t>
  </si>
  <si>
    <r>
      <t>1. Check The Fundamental Frequency Of The Floor [</t>
    </r>
    <r>
      <rPr>
        <b/>
        <sz val="9"/>
        <color rgb="FFFF0000"/>
        <rFont val="Calibri"/>
        <family val="2"/>
        <scheme val="minor"/>
      </rPr>
      <t>see EN.1995.1.1.2004-Equation(7.5)</t>
    </r>
    <r>
      <rPr>
        <b/>
        <sz val="11"/>
        <color theme="1"/>
        <rFont val="Calibri"/>
        <family val="2"/>
        <scheme val="minor"/>
      </rPr>
      <t>]</t>
    </r>
  </si>
  <si>
    <t>Vibration Checks For Timber Floors/Sheathing Without Loading The Floor</t>
  </si>
  <si>
    <t>Project Name</t>
  </si>
  <si>
    <t>Designed Floor</t>
  </si>
  <si>
    <t>Project Code</t>
  </si>
  <si>
    <t>Prepared by.</t>
  </si>
  <si>
    <t>Checked by.</t>
  </si>
  <si>
    <t>Date</t>
  </si>
  <si>
    <t>M.Anter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</si>
</sst>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sz val="9"/>
      <color theme="1"/>
      <name val="Calibri"/>
      <family val="2"/>
      <scheme val="minor"/>
    </font>
    <font>
      <i/>
      <sz val="14"/>
      <color theme="1"/>
      <name val="Calibri"/>
      <family val="2"/>
      <scheme val="minor"/>
    </font>
    <font>
      <b/>
      <sz val="9"/>
      <color rgb="FFFF0000"/>
      <name val="Calibri"/>
      <family val="2"/>
      <scheme val="minor"/>
    </font>
    <font>
      <sz val="14"/>
      <color theme="1"/>
      <name val="Calibri"/>
      <family val="2"/>
      <scheme val="minor"/>
    </font>
    <font>
      <b/>
      <i/>
      <u/>
      <sz val="11"/>
      <color theme="4"/>
      <name val="Calibri"/>
      <family val="2"/>
      <scheme val="minor"/>
    </font>
    <font>
      <b/>
      <sz val="11"/>
      <color theme="4"/>
      <name val="Calibri"/>
      <family val="2"/>
      <scheme val="minor"/>
    </font>
    <font>
      <sz val="11"/>
      <color theme="1"/>
      <name val="Sanskrit Text"/>
      <family val="1"/>
    </font>
    <font>
      <sz val="8"/>
      <color theme="1"/>
      <name val="Sanskrit Text"/>
      <family val="1"/>
    </font>
    <font>
      <b/>
      <sz val="8"/>
      <color theme="1"/>
      <name val="Sanskrit Text"/>
      <family val="1"/>
    </font>
    <font>
      <b/>
      <sz val="8"/>
      <color rgb="FF002060"/>
      <name val="Sanskrit Text"/>
      <family val="1"/>
    </font>
  </fonts>
  <fills count="6">
    <fill>
      <patternFill patternType="none"/>
    </fill>
    <fill>
      <patternFill patternType="gray125"/>
    </fill>
    <fill>
      <patternFill patternType="solid">
        <fgColor theme="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vertical="center"/>
    </xf>
    <xf numFmtId="0" fontId="1" fillId="0" borderId="0" xfId="0" applyFont="1" applyAlignment="1">
      <alignment horizontal="center"/>
    </xf>
    <xf numFmtId="0" fontId="1" fillId="0" borderId="0" xfId="0" applyFont="1" applyAlignment="1">
      <alignment horizontal="center" vertical="center"/>
    </xf>
    <xf numFmtId="2" fontId="1" fillId="0" borderId="0" xfId="0" applyNumberFormat="1" applyFont="1" applyAlignment="1">
      <alignment horizontal="center"/>
    </xf>
    <xf numFmtId="165" fontId="1" fillId="0" borderId="0" xfId="0" applyNumberFormat="1" applyFont="1" applyAlignment="1">
      <alignment horizontal="center"/>
    </xf>
    <xf numFmtId="0" fontId="6" fillId="5" borderId="0" xfId="0" applyFont="1" applyFill="1" applyAlignment="1">
      <alignment horizontal="center" vertical="center" wrapText="1"/>
    </xf>
    <xf numFmtId="0" fontId="1" fillId="0" borderId="0" xfId="0" applyFont="1" applyAlignment="1">
      <alignment horizontal="center" vertical="center" wrapText="1"/>
    </xf>
    <xf numFmtId="0" fontId="1" fillId="5" borderId="0" xfId="0" applyFont="1" applyFill="1" applyAlignment="1">
      <alignment horizontal="center"/>
    </xf>
    <xf numFmtId="0" fontId="1" fillId="0" borderId="0" xfId="0" applyFont="1" applyAlignment="1">
      <alignment horizontal="center" vertical="center"/>
    </xf>
    <xf numFmtId="0" fontId="7" fillId="2" borderId="0" xfId="0" applyFont="1" applyFill="1" applyAlignment="1">
      <alignment horizontal="center" vertical="center"/>
    </xf>
    <xf numFmtId="0" fontId="0" fillId="4" borderId="0" xfId="0" applyFill="1" applyAlignment="1">
      <alignment horizontal="center"/>
    </xf>
    <xf numFmtId="0" fontId="8" fillId="0" borderId="0" xfId="0" applyFont="1"/>
    <xf numFmtId="0" fontId="9" fillId="0" borderId="0" xfId="0" applyFont="1" applyAlignment="1">
      <alignment horizontal="left" vertical="top"/>
    </xf>
    <xf numFmtId="0" fontId="10" fillId="0" borderId="0" xfId="0" applyFont="1" applyAlignment="1">
      <alignment horizontal="left" vertical="top"/>
    </xf>
    <xf numFmtId="0" fontId="11" fillId="0" borderId="0" xfId="0" applyFont="1" applyAlignment="1">
      <alignment horizontal="left" vertical="top"/>
    </xf>
    <xf numFmtId="0" fontId="1" fillId="3" borderId="0" xfId="0" applyFont="1" applyFill="1" applyAlignment="1" applyProtection="1">
      <alignment horizontal="center"/>
      <protection locked="0"/>
    </xf>
    <xf numFmtId="164" fontId="1" fillId="0" borderId="0" xfId="0" applyNumberFormat="1" applyFont="1" applyAlignment="1" applyProtection="1">
      <alignment horizontal="center" vertical="center"/>
      <protection locked="0"/>
    </xf>
    <xf numFmtId="0" fontId="10" fillId="0" borderId="0" xfId="0" applyFont="1" applyAlignment="1" applyProtection="1">
      <alignment horizontal="left" vertical="top"/>
      <protection locked="0"/>
    </xf>
    <xf numFmtId="0" fontId="9" fillId="0" borderId="0" xfId="0" applyFont="1" applyAlignment="1" applyProtection="1">
      <alignment horizontal="left" vertical="top"/>
      <protection locked="0"/>
    </xf>
  </cellXfs>
  <cellStyles count="1">
    <cellStyle name="Normal" xfId="0" builtinId="0"/>
  </cellStyles>
  <dxfs count="4">
    <dxf>
      <fill>
        <patternFill>
          <bgColor theme="9" tint="0.39994506668294322"/>
        </patternFill>
      </fill>
    </dxf>
    <dxf>
      <fill>
        <patternFill>
          <bgColor rgb="FFFF0000"/>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176A3-F5A6-482E-B554-18AC923C065E}">
  <dimension ref="A1:V31"/>
  <sheetViews>
    <sheetView tabSelected="1" view="pageBreakPreview" zoomScale="115" zoomScaleNormal="100" zoomScaleSheetLayoutView="115" workbookViewId="0">
      <selection activeCell="F2" sqref="F2"/>
    </sheetView>
  </sheetViews>
  <sheetFormatPr defaultRowHeight="14.4" x14ac:dyDescent="0.3"/>
  <cols>
    <col min="1" max="1" width="15.88671875" customWidth="1"/>
    <col min="2" max="2" width="12" style="2" bestFit="1" customWidth="1"/>
    <col min="3" max="3" width="11.77734375" style="3" bestFit="1" customWidth="1"/>
    <col min="5" max="5" width="10.5546875" customWidth="1"/>
    <col min="7" max="7" width="10.44140625" customWidth="1"/>
    <col min="22" max="22" width="9.109375" hidden="1" customWidth="1"/>
  </cols>
  <sheetData>
    <row r="1" spans="1:22" ht="12" customHeight="1" x14ac:dyDescent="0.3">
      <c r="A1" s="15" t="s">
        <v>34</v>
      </c>
      <c r="B1" s="18"/>
      <c r="C1" s="15" t="s">
        <v>36</v>
      </c>
      <c r="D1" s="19"/>
      <c r="E1" s="15" t="s">
        <v>37</v>
      </c>
      <c r="F1" s="13" t="s">
        <v>40</v>
      </c>
      <c r="G1" s="15" t="s">
        <v>38</v>
      </c>
      <c r="H1" s="19"/>
    </row>
    <row r="2" spans="1:22" ht="18" x14ac:dyDescent="0.5">
      <c r="A2" s="15" t="s">
        <v>35</v>
      </c>
      <c r="B2" s="18"/>
      <c r="C2" s="14"/>
      <c r="D2" s="13"/>
      <c r="E2" s="15" t="s">
        <v>39</v>
      </c>
      <c r="F2" s="19"/>
      <c r="G2" s="13"/>
      <c r="H2" s="12"/>
    </row>
    <row r="3" spans="1:22" x14ac:dyDescent="0.3">
      <c r="A3" s="8" t="s">
        <v>33</v>
      </c>
      <c r="B3" s="8"/>
      <c r="C3" s="8"/>
      <c r="D3" s="8"/>
      <c r="E3" s="8"/>
      <c r="F3" s="8"/>
      <c r="G3" s="8"/>
      <c r="H3" s="8"/>
      <c r="I3" s="8"/>
    </row>
    <row r="5" spans="1:22" x14ac:dyDescent="0.3">
      <c r="A5" s="8" t="s">
        <v>32</v>
      </c>
      <c r="B5" s="8"/>
      <c r="C5" s="8"/>
      <c r="D5" s="8"/>
      <c r="E5" s="8"/>
      <c r="F5" s="8"/>
      <c r="G5" s="8"/>
      <c r="H5" s="8"/>
      <c r="I5" s="8"/>
    </row>
    <row r="6" spans="1:22" x14ac:dyDescent="0.3">
      <c r="A6" s="10" t="s">
        <v>0</v>
      </c>
      <c r="B6" s="10"/>
      <c r="C6" s="10"/>
      <c r="D6" s="10"/>
      <c r="E6" s="10"/>
      <c r="F6" s="10"/>
      <c r="G6" s="10"/>
      <c r="H6" s="10"/>
      <c r="I6" s="10"/>
      <c r="V6">
        <f>SQRT((B19/B17)/(B12))</f>
        <v>160.19348840544808</v>
      </c>
    </row>
    <row r="7" spans="1:22" x14ac:dyDescent="0.3">
      <c r="A7" t="s">
        <v>16</v>
      </c>
      <c r="B7" s="16">
        <v>3.7</v>
      </c>
      <c r="C7" s="3" t="s">
        <v>11</v>
      </c>
    </row>
    <row r="8" spans="1:22" x14ac:dyDescent="0.3">
      <c r="A8" t="s">
        <v>2</v>
      </c>
      <c r="B8" s="16">
        <v>4.4000000000000004</v>
      </c>
      <c r="C8" s="3" t="s">
        <v>11</v>
      </c>
    </row>
    <row r="9" spans="1:22" x14ac:dyDescent="0.3">
      <c r="A9" t="s">
        <v>5</v>
      </c>
      <c r="B9" s="16">
        <v>1.7999999999999999E-2</v>
      </c>
      <c r="C9" s="3" t="s">
        <v>11</v>
      </c>
    </row>
    <row r="10" spans="1:22" x14ac:dyDescent="0.3">
      <c r="A10" t="s">
        <v>3</v>
      </c>
      <c r="B10" s="16">
        <v>19.45</v>
      </c>
      <c r="C10" s="3" t="s">
        <v>13</v>
      </c>
    </row>
    <row r="11" spans="1:22" x14ac:dyDescent="0.3">
      <c r="A11" t="s">
        <v>9</v>
      </c>
      <c r="B11" s="16">
        <v>4930</v>
      </c>
      <c r="C11" s="3" t="s">
        <v>12</v>
      </c>
    </row>
    <row r="12" spans="1:22" x14ac:dyDescent="0.3">
      <c r="A12" t="s">
        <v>6</v>
      </c>
      <c r="B12" s="2">
        <f>B10*B9*100</f>
        <v>35.01</v>
      </c>
      <c r="C12" s="3" t="s">
        <v>20</v>
      </c>
    </row>
    <row r="13" spans="1:22" x14ac:dyDescent="0.3">
      <c r="A13" t="s">
        <v>7</v>
      </c>
      <c r="B13" s="2">
        <f>(B11*1000000)*((1*B9^3)/12)/1000</f>
        <v>2.3959799999999998</v>
      </c>
      <c r="C13" s="3" t="s">
        <v>21</v>
      </c>
    </row>
    <row r="14" spans="1:22" x14ac:dyDescent="0.3">
      <c r="A14" s="10" t="s">
        <v>8</v>
      </c>
      <c r="B14" s="10"/>
      <c r="C14" s="10"/>
      <c r="D14" s="10"/>
      <c r="E14" s="10"/>
      <c r="F14" s="10"/>
      <c r="G14" s="10"/>
      <c r="H14" s="10"/>
      <c r="I14" s="10"/>
    </row>
    <row r="15" spans="1:22" x14ac:dyDescent="0.3">
      <c r="A15" t="s">
        <v>1</v>
      </c>
      <c r="B15" s="16">
        <v>4.4999999999999998E-2</v>
      </c>
      <c r="C15" s="3" t="s">
        <v>11</v>
      </c>
    </row>
    <row r="16" spans="1:22" x14ac:dyDescent="0.3">
      <c r="A16" t="s">
        <v>4</v>
      </c>
      <c r="B16" s="16">
        <v>0.22</v>
      </c>
      <c r="C16" s="3" t="s">
        <v>11</v>
      </c>
    </row>
    <row r="17" spans="1:9" x14ac:dyDescent="0.3">
      <c r="A17" t="s">
        <v>10</v>
      </c>
      <c r="B17" s="16">
        <v>0.4</v>
      </c>
      <c r="C17" s="3" t="s">
        <v>11</v>
      </c>
    </row>
    <row r="18" spans="1:9" x14ac:dyDescent="0.3">
      <c r="A18" t="s">
        <v>9</v>
      </c>
      <c r="B18" s="16">
        <v>9000</v>
      </c>
      <c r="C18" s="3" t="s">
        <v>12</v>
      </c>
    </row>
    <row r="19" spans="1:9" x14ac:dyDescent="0.3">
      <c r="A19" t="s">
        <v>7</v>
      </c>
      <c r="B19" s="2">
        <f>(B18*1000000)*((B15*B16^3)/12)</f>
        <v>359370</v>
      </c>
      <c r="C19" s="3" t="s">
        <v>21</v>
      </c>
    </row>
    <row r="20" spans="1:9" x14ac:dyDescent="0.3">
      <c r="A20" s="10" t="s">
        <v>14</v>
      </c>
      <c r="B20" s="10"/>
      <c r="C20" s="10"/>
      <c r="D20" s="10"/>
      <c r="E20" s="10"/>
      <c r="F20" s="10"/>
      <c r="G20" s="10"/>
      <c r="H20" s="10"/>
      <c r="I20" s="10"/>
    </row>
    <row r="21" spans="1:9" ht="18" x14ac:dyDescent="0.35">
      <c r="A21" t="s">
        <v>15</v>
      </c>
      <c r="B21" s="5">
        <f>(PI()/(2*B7^2))*V6</f>
        <v>18.380667871712102</v>
      </c>
      <c r="C21" s="3" t="str">
        <f>IF(B21&gt;8,"SAFE","UNSAFE")</f>
        <v>SAFE</v>
      </c>
    </row>
    <row r="22" spans="1:9" hidden="1" x14ac:dyDescent="0.3">
      <c r="A22" s="11" t="s">
        <v>17</v>
      </c>
      <c r="B22" s="11"/>
      <c r="C22" s="11"/>
      <c r="D22" s="11"/>
      <c r="E22" s="11"/>
      <c r="F22" s="11"/>
      <c r="G22" s="11"/>
    </row>
    <row r="23" spans="1:9" hidden="1" x14ac:dyDescent="0.3">
      <c r="A23" t="s">
        <v>18</v>
      </c>
      <c r="B23" s="4">
        <f>((1000*B7^3)/(48*B19))*1000</f>
        <v>2.9364466520113908</v>
      </c>
      <c r="C23" s="3" t="s">
        <v>19</v>
      </c>
    </row>
    <row r="24" spans="1:9" x14ac:dyDescent="0.3">
      <c r="A24" s="8" t="s">
        <v>30</v>
      </c>
      <c r="B24" s="8"/>
      <c r="C24" s="8"/>
      <c r="D24" s="8"/>
      <c r="E24" s="8"/>
      <c r="F24" s="8"/>
      <c r="G24" s="8"/>
      <c r="H24" s="8"/>
      <c r="I24" s="8"/>
    </row>
    <row r="25" spans="1:9" x14ac:dyDescent="0.3">
      <c r="A25" t="s">
        <v>22</v>
      </c>
      <c r="B25" s="16">
        <v>0.01</v>
      </c>
    </row>
    <row r="26" spans="1:9" ht="30" customHeight="1" x14ac:dyDescent="0.3">
      <c r="A26" s="1" t="s">
        <v>23</v>
      </c>
      <c r="B26" s="16">
        <v>100</v>
      </c>
      <c r="C26" s="7" t="s">
        <v>29</v>
      </c>
      <c r="D26" s="7"/>
      <c r="E26" s="7"/>
      <c r="F26" s="7"/>
      <c r="G26" s="7"/>
      <c r="H26" s="7"/>
      <c r="I26" s="7"/>
    </row>
    <row r="27" spans="1:9" ht="30.75" customHeight="1" x14ac:dyDescent="0.35">
      <c r="A27" t="s">
        <v>27</v>
      </c>
      <c r="B27" s="5">
        <f>((((40/B21)^2)-1)*((B8/B7)^4)*((B19/(B17*1000))/B13))^0.25</f>
        <v>7.2752479902206177</v>
      </c>
      <c r="C27" s="7" t="s">
        <v>28</v>
      </c>
      <c r="D27" s="7"/>
      <c r="E27" s="7"/>
      <c r="F27" s="7"/>
      <c r="G27" s="7"/>
      <c r="H27" s="7"/>
      <c r="I27" s="7"/>
    </row>
    <row r="28" spans="1:9" x14ac:dyDescent="0.3">
      <c r="A28" t="s">
        <v>24</v>
      </c>
      <c r="B28" s="5">
        <f>B26^((B21*B25)-1)</f>
        <v>2.3313815617530053E-2</v>
      </c>
      <c r="C28" s="9" t="s">
        <v>25</v>
      </c>
      <c r="D28" s="9"/>
      <c r="E28" s="9"/>
      <c r="F28" s="9"/>
      <c r="G28" s="9"/>
    </row>
    <row r="29" spans="1:9" ht="45" customHeight="1" x14ac:dyDescent="0.3">
      <c r="A29" s="1" t="s">
        <v>26</v>
      </c>
      <c r="B29" s="17">
        <f>(4*(0.4+(0.6*B27)))/((B12*B7*B8)+200)</f>
        <v>2.4755215676042372E-2</v>
      </c>
      <c r="C29" s="7" t="s">
        <v>31</v>
      </c>
      <c r="D29" s="7"/>
      <c r="E29" s="7"/>
      <c r="F29" s="7"/>
      <c r="G29" s="7"/>
      <c r="H29" s="7"/>
      <c r="I29" s="7"/>
    </row>
    <row r="30" spans="1:9" ht="15" customHeight="1" x14ac:dyDescent="0.3">
      <c r="A30" s="6" t="str">
        <f>IF(B29&gt;B28,"This value is higher than the limit value. The chosen floor design 
should therefore be adjusted in order to avoid problems with vibration.","This value is Lower than the limit value. The chosen floor design is Safe")</f>
        <v>This value is higher than the limit value. The chosen floor design 
should therefore be adjusted in order to avoid problems with vibration.</v>
      </c>
      <c r="B30" s="6"/>
      <c r="C30" s="6"/>
      <c r="D30" s="6"/>
      <c r="E30" s="6"/>
      <c r="F30" s="6"/>
      <c r="G30" s="6"/>
      <c r="H30" s="6"/>
      <c r="I30" s="6"/>
    </row>
    <row r="31" spans="1:9" x14ac:dyDescent="0.3">
      <c r="A31" s="6"/>
      <c r="B31" s="6"/>
      <c r="C31" s="6"/>
      <c r="D31" s="6"/>
      <c r="E31" s="6"/>
      <c r="F31" s="6"/>
      <c r="G31" s="6"/>
      <c r="H31" s="6"/>
      <c r="I31" s="6"/>
    </row>
  </sheetData>
  <sheetProtection algorithmName="SHA-512" hashValue="KJYO4M8I3dbF1bFoF/iR5jNHqJW6mQe71COySOmBF1gZi1YSqMvkOQ9IXG9WrsQ1YQrVI3XdN9F3asYXWLmRIw==" saltValue="5zPCWbS7gsxOAbcg54kPrA==" spinCount="100000" sheet="1" formatCells="0" formatColumns="0" formatRows="0" insertColumns="0" insertRows="0" insertHyperlinks="0" deleteColumns="0" deleteRows="0" selectLockedCells="1" sort="0" autoFilter="0" pivotTables="0"/>
  <mergeCells count="12">
    <mergeCell ref="A30:I31"/>
    <mergeCell ref="C29:I29"/>
    <mergeCell ref="A3:I3"/>
    <mergeCell ref="C28:G28"/>
    <mergeCell ref="C27:I27"/>
    <mergeCell ref="A6:I6"/>
    <mergeCell ref="A14:I14"/>
    <mergeCell ref="A22:G22"/>
    <mergeCell ref="C26:I26"/>
    <mergeCell ref="A5:I5"/>
    <mergeCell ref="A20:I20"/>
    <mergeCell ref="A24:I24"/>
  </mergeCells>
  <conditionalFormatting sqref="B29">
    <cfRule type="cellIs" dxfId="3" priority="1" operator="lessThan">
      <formula>$B$28</formula>
    </cfRule>
    <cfRule type="cellIs" dxfId="2" priority="2" operator="greaterThan">
      <formula>$B$28</formula>
    </cfRule>
  </conditionalFormatting>
  <conditionalFormatting sqref="C21">
    <cfRule type="cellIs" dxfId="1" priority="3" operator="equal">
      <formula>"UNSAFE"</formula>
    </cfRule>
    <cfRule type="cellIs" dxfId="0" priority="4" operator="equal">
      <formula>"SAFE"</formula>
    </cfRule>
  </conditionalFormatting>
  <pageMargins left="0.7" right="0.7"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Vibration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Anter</dc:creator>
  <cp:lastModifiedBy>Mohamed Anter</cp:lastModifiedBy>
  <dcterms:created xsi:type="dcterms:W3CDTF">2025-07-15T10:46:47Z</dcterms:created>
  <dcterms:modified xsi:type="dcterms:W3CDTF">2026-07-03T17:03:30Z</dcterms:modified>
</cp:coreProperties>
</file>